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ck BTL" sheetId="1" state="visible" r:id="rId1"/>
  </sheets>
  <definedNames/>
  <calcPr calcId="124519" fullCalcOnLoad="1"/>
</workbook>
</file>

<file path=xl/styles.xml><?xml version="1.0" encoding="utf-8"?>
<styleSheet xmlns="http://schemas.openxmlformats.org/spreadsheetml/2006/main">
  <numFmts count="3">
    <numFmt numFmtId="164" formatCode="&quot;£&quot;#,##0;-&quot;£&quot;#,##0"/>
    <numFmt numFmtId="165" formatCode="0.0%"/>
    <numFmt numFmtId="166" formatCode="&quot;£&quot;#,##0"/>
  </numFmts>
  <fonts count="10">
    <font>
      <name val="Calibri"/>
      <family val="2"/>
      <color theme="1"/>
      <sz val="11"/>
      <scheme val="minor"/>
    </font>
    <font>
      <name val="Arial"/>
      <b val="1"/>
      <color rgb="00FFFFFF"/>
      <sz val="16"/>
    </font>
    <font>
      <name val="Arial"/>
      <color rgb="00FFFFFF"/>
      <sz val="9"/>
    </font>
    <font>
      <name val="Arial"/>
      <b val="1"/>
      <color rgb="00E3A33B"/>
      <sz val="8"/>
    </font>
    <font>
      <name val="Arial"/>
      <b val="1"/>
      <color rgb="00E3A33B"/>
      <sz val="10"/>
    </font>
    <font>
      <name val="Arial"/>
      <color rgb="002E3336"/>
      <sz val="9"/>
    </font>
    <font>
      <name val="Arial"/>
      <b val="1"/>
      <color rgb="00FFFFFF"/>
      <sz val="9"/>
    </font>
    <font>
      <name val="Arial"/>
      <i val="1"/>
      <color rgb="005A6064"/>
      <sz val="7.5"/>
    </font>
    <font>
      <name val="Arial"/>
      <b val="1"/>
      <color rgb="002E3336"/>
      <sz val="9"/>
    </font>
    <font>
      <name val="Arial"/>
      <b val="1"/>
      <color rgb="002E3336"/>
      <sz val="8"/>
    </font>
  </fonts>
  <fills count="6">
    <fill>
      <patternFill/>
    </fill>
    <fill>
      <patternFill patternType="gray125"/>
    </fill>
    <fill>
      <patternFill patternType="solid">
        <fgColor rgb="002E3336"/>
      </patternFill>
    </fill>
    <fill>
      <patternFill patternType="solid">
        <fgColor rgb="00E3A33B"/>
      </patternFill>
    </fill>
    <fill>
      <patternFill patternType="solid">
        <fgColor rgb="00FBEBD0"/>
      </patternFill>
    </fill>
    <fill>
      <patternFill patternType="solid">
        <fgColor rgb="00F2F3F4"/>
      </patternFill>
    </fill>
  </fills>
  <borders count="2">
    <border>
      <left/>
      <right/>
      <top/>
      <bottom/>
      <diagonal/>
    </border>
    <border>
      <left style="thin">
        <color rgb="00C9CCCE"/>
      </left>
      <right style="thin">
        <color rgb="00C9CCCE"/>
      </right>
      <top style="thin">
        <color rgb="00C9CCCE"/>
      </top>
      <bottom style="thin">
        <color rgb="00C9CCCE"/>
      </bottom>
    </border>
  </borders>
  <cellStyleXfs count="1">
    <xf numFmtId="0" fontId="0" fillId="0" borderId="0"/>
  </cellStyleXfs>
  <cellXfs count="22">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0" fillId="3" borderId="0" pivotButton="0" quotePrefix="0" xfId="0"/>
    <xf numFmtId="0" fontId="4" fillId="0" borderId="0" pivotButton="0" quotePrefix="0" xfId="0"/>
    <xf numFmtId="0" fontId="5" fillId="0" borderId="0" pivotButton="0" quotePrefix="0" xfId="0"/>
    <xf numFmtId="164" fontId="5" fillId="4" borderId="1" applyProtection="1" pivotButton="0" quotePrefix="0" xfId="0">
      <protection locked="0" hidden="0"/>
    </xf>
    <xf numFmtId="0" fontId="6" fillId="2" borderId="0" pivotButton="0" quotePrefix="0" xfId="0"/>
    <xf numFmtId="0" fontId="5" fillId="4" borderId="1" applyProtection="1" pivotButton="0" quotePrefix="0" xfId="0">
      <protection locked="0" hidden="0"/>
    </xf>
    <xf numFmtId="166" fontId="5" fillId="5" borderId="1" pivotButton="0" quotePrefix="0" xfId="0"/>
    <xf numFmtId="9" fontId="5" fillId="5" borderId="1" pivotButton="0" quotePrefix="0" xfId="0"/>
    <xf numFmtId="165" fontId="5" fillId="4" borderId="1" applyProtection="1" pivotButton="0" quotePrefix="0" xfId="0">
      <protection locked="0" hidden="0"/>
    </xf>
    <xf numFmtId="0" fontId="7" fillId="0" borderId="0" pivotButton="0" quotePrefix="0" xfId="0"/>
    <xf numFmtId="0" fontId="8" fillId="0" borderId="0" pivotButton="0" quotePrefix="0" xfId="0"/>
    <xf numFmtId="164" fontId="8" fillId="5" borderId="1" pivotButton="0" quotePrefix="0" xfId="0"/>
    <xf numFmtId="164" fontId="5" fillId="5" borderId="1" pivotButton="0" quotePrefix="0" xfId="0"/>
    <xf numFmtId="165" fontId="8" fillId="5" borderId="1" pivotButton="0" quotePrefix="0" xfId="0"/>
    <xf numFmtId="0" fontId="9" fillId="0" borderId="0" pivotButton="0" quotePrefix="0" xfId="0"/>
    <xf numFmtId="0" fontId="3"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3"/>
  <sheetViews>
    <sheetView showGridLines="0" workbookViewId="0">
      <selection activeCell="A1" sqref="A1"/>
    </sheetView>
  </sheetViews>
  <sheetFormatPr baseColWidth="8" defaultRowHeight="15"/>
  <cols>
    <col width="38" customWidth="1" min="1" max="1"/>
    <col width="16" customWidth="1" min="2" max="2"/>
    <col width="4" customWidth="1" min="3" max="3"/>
    <col width="30" customWidth="1" min="4" max="4"/>
    <col width="14" customWidth="1" min="5" max="5"/>
    <col width="14" customWidth="1" min="6" max="6"/>
  </cols>
  <sheetData>
    <row r="1" ht="26" customHeight="1">
      <c r="A1" s="1" t="inlineStr">
        <is>
          <t>UK Deal Analyser · Quick Buy-to-Let tab</t>
        </is>
      </c>
      <c r="B1" s="2" t="n"/>
      <c r="C1" s="2" t="n"/>
      <c r="D1" s="2" t="n"/>
      <c r="E1" s="2" t="n"/>
      <c r="F1" s="2" t="n"/>
    </row>
    <row r="2">
      <c r="A2" s="3" t="inlineStr">
        <is>
          <t>England &amp; NI only · purchase costs, Stamp Duty (SDLT), rent, yield and return on cash</t>
        </is>
      </c>
      <c r="B2" s="2" t="n"/>
      <c r="C2" s="2" t="n"/>
      <c r="D2" s="2" t="n"/>
      <c r="E2" s="2" t="n"/>
      <c r="F2" s="2" t="n"/>
    </row>
    <row r="3">
      <c r="A3" s="4" t="inlineStr">
        <is>
          <t>FREE SAMPLE · amber cells are yours to fill in</t>
        </is>
      </c>
      <c r="B3" s="2" t="n"/>
      <c r="C3" s="2" t="n"/>
      <c r="D3" s="2" t="n"/>
      <c r="E3" s="2" t="n"/>
      <c r="F3" s="2" t="n"/>
    </row>
    <row r="4" ht="4" customHeight="1">
      <c r="A4" s="5" t="n"/>
      <c r="B4" s="5" t="n"/>
      <c r="C4" s="5" t="n"/>
      <c r="D4" s="5" t="n"/>
      <c r="E4" s="5" t="n"/>
      <c r="F4" s="5" t="n"/>
    </row>
    <row r="6">
      <c r="A6" s="6" t="inlineStr">
        <is>
          <t>PURCHASE</t>
        </is>
      </c>
      <c r="D6" s="6" t="inlineStr">
        <is>
          <t>SDLT bands (England &amp; NI, from 1 Apr 2025)</t>
        </is>
      </c>
    </row>
    <row r="7">
      <c r="A7" s="7" t="inlineStr">
        <is>
          <t>Purchase price</t>
        </is>
      </c>
      <c r="B7" s="8" t="n"/>
      <c r="D7" s="9" t="inlineStr">
        <is>
          <t>Portion above £</t>
        </is>
      </c>
      <c r="E7" s="9" t="inlineStr">
        <is>
          <t>Standard</t>
        </is>
      </c>
      <c r="F7" s="9" t="inlineStr">
        <is>
          <t>Additional</t>
        </is>
      </c>
    </row>
    <row r="8">
      <c r="A8" s="7" t="inlineStr">
        <is>
          <t>Buyer type</t>
        </is>
      </c>
      <c r="B8" s="10" t="inlineStr">
        <is>
          <t>Additional property</t>
        </is>
      </c>
      <c r="D8" s="11" t="n">
        <v>0</v>
      </c>
      <c r="E8" s="12" t="n">
        <v>0</v>
      </c>
      <c r="F8" s="12" t="n">
        <v>0.05</v>
      </c>
    </row>
    <row r="9">
      <c r="A9" s="7" t="inlineStr">
        <is>
          <t>Non-UK resident (+2%)</t>
        </is>
      </c>
      <c r="B9" s="10" t="inlineStr">
        <is>
          <t>No</t>
        </is>
      </c>
      <c r="D9" s="11" t="n">
        <v>125000</v>
      </c>
      <c r="E9" s="12" t="n">
        <v>0.02</v>
      </c>
      <c r="F9" s="12" t="n">
        <v>0.07000000000000001</v>
      </c>
    </row>
    <row r="10">
      <c r="A10" s="7" t="inlineStr">
        <is>
          <t>Deposit %</t>
        </is>
      </c>
      <c r="B10" s="13" t="n">
        <v>0.25</v>
      </c>
      <c r="D10" s="11" t="n">
        <v>250000</v>
      </c>
      <c r="E10" s="12" t="n">
        <v>0.05</v>
      </c>
      <c r="F10" s="12" t="n">
        <v>0.1</v>
      </c>
    </row>
    <row r="11">
      <c r="A11" s="7" t="inlineStr">
        <is>
          <t>Legal, survey &amp; broker fees</t>
        </is>
      </c>
      <c r="B11" s="8" t="n"/>
      <c r="D11" s="11" t="n">
        <v>925000</v>
      </c>
      <c r="E11" s="12" t="n">
        <v>0.1</v>
      </c>
      <c r="F11" s="12" t="n">
        <v>0.15</v>
      </c>
    </row>
    <row r="12">
      <c r="A12" s="7" t="inlineStr">
        <is>
          <t>Refurb / furnishing</t>
        </is>
      </c>
      <c r="B12" s="8" t="n"/>
      <c r="D12" s="11" t="n">
        <v>1500000</v>
      </c>
      <c r="E12" s="12" t="n">
        <v>0.12</v>
      </c>
      <c r="F12" s="12" t="n">
        <v>0.17</v>
      </c>
    </row>
    <row r="13">
      <c r="D13" s="14" t="inlineStr">
        <is>
          <t>Source: GOV.UK SDLT residential rates; checked Oct 2026.</t>
        </is>
      </c>
    </row>
    <row r="14">
      <c r="A14" s="15" t="inlineStr">
        <is>
          <t>Stamp Duty (SDLT)</t>
        </is>
      </c>
      <c r="B14" s="16">
        <f>ROUND(IF(AND($B$8="Additional property",N($B$7)&gt;=40000),($F$8-0)*MAX(0,N($B$7)-$D$8)+($F$9-$F$8)*MAX(0,N($B$7)-$D$9)+($F$10-$F$9)*MAX(0,N($B$7)-$D$10)+($F$11-$F$10)*MAX(0,N($B$7)-$D$11)+($F$12-$F$11)*MAX(0,N($B$7)-$D$12),($E$8-0)*MAX(0,N($B$7)-$D$8)+($E$9-$E$8)*MAX(0,N($B$7)-$D$9)+($E$10-$E$9)*MAX(0,N($B$7)-$D$10)+($E$11-$E$10)*MAX(0,N($B$7)-$D$11)+($E$12-$E$11)*MAX(0,N($B$7)-$D$12))+IF($B$9="Yes",0.02*N($B$7),0),0)</f>
        <v/>
      </c>
      <c r="D14" s="14" t="inlineStr">
        <is>
          <t>Additional rates generally don't apply under £40,000.</t>
        </is>
      </c>
    </row>
    <row r="15">
      <c r="A15" s="7" t="inlineStr">
        <is>
          <t>Deposit</t>
        </is>
      </c>
      <c r="B15" s="17">
        <f>N($B$7)*N($B$10)</f>
        <v/>
      </c>
    </row>
    <row r="16">
      <c r="A16" s="7" t="inlineStr">
        <is>
          <t>Mortgage</t>
        </is>
      </c>
      <c r="B16" s="17">
        <f>N($B$7)-$B$15</f>
        <v/>
      </c>
    </row>
    <row r="17">
      <c r="A17" s="15" t="inlineStr">
        <is>
          <t>Total cash in</t>
        </is>
      </c>
      <c r="B17" s="16">
        <f>$B$15+$B$14+N($B$11)+N($B$12)</f>
        <v/>
      </c>
    </row>
    <row r="19">
      <c r="A19" s="6" t="inlineStr">
        <is>
          <t>INCOME &amp; COSTS (per year unless stated)</t>
        </is>
      </c>
    </row>
    <row r="20">
      <c r="A20" s="7" t="inlineStr">
        <is>
          <t>Monthly rent</t>
        </is>
      </c>
      <c r="B20" s="8" t="n"/>
    </row>
    <row r="21">
      <c r="A21" s="7" t="inlineStr">
        <is>
          <t>Mortgage interest rate (interest-only)</t>
        </is>
      </c>
      <c r="B21" s="13" t="n">
        <v>0.055</v>
      </c>
    </row>
    <row r="22">
      <c r="A22" s="7" t="inlineStr">
        <is>
          <t>Letting / management % of rent</t>
        </is>
      </c>
      <c r="B22" s="13" t="n">
        <v>0.1</v>
      </c>
    </row>
    <row r="23">
      <c r="A23" s="7" t="inlineStr">
        <is>
          <t>Voids &amp; maintenance % of rent</t>
        </is>
      </c>
      <c r="B23" s="13" t="n">
        <v>0.08</v>
      </c>
    </row>
    <row r="24">
      <c r="A24" s="7" t="inlineStr">
        <is>
          <t>Other annual costs (insurance, certificates, service charge)</t>
        </is>
      </c>
      <c r="B24" s="8" t="n"/>
    </row>
    <row r="25">
      <c r="A25" s="7" t="inlineStr">
        <is>
          <t>Annual rent</t>
        </is>
      </c>
      <c r="B25" s="17">
        <f>N($B$20)*12</f>
        <v/>
      </c>
    </row>
    <row r="26">
      <c r="A26" s="7" t="inlineStr">
        <is>
          <t>Mortgage interest</t>
        </is>
      </c>
      <c r="B26" s="17">
        <f>$B$16*N($B$21)</f>
        <v/>
      </c>
    </row>
    <row r="27">
      <c r="A27" s="7" t="inlineStr">
        <is>
          <t>Running costs</t>
        </is>
      </c>
      <c r="B27" s="17">
        <f>$B$25*(N($B$22)+N($B$23))+N($B$24)</f>
        <v/>
      </c>
    </row>
    <row r="28">
      <c r="A28" s="15" t="inlineStr">
        <is>
          <t>Cash flow before tax (year)</t>
        </is>
      </c>
      <c r="B28" s="16">
        <f>$B$25-$B$26-$B$27</f>
        <v/>
      </c>
    </row>
    <row r="29">
      <c r="A29" s="7" t="inlineStr">
        <is>
          <t>Cash flow before tax (month)</t>
        </is>
      </c>
      <c r="B29" s="17">
        <f>$B$28/12</f>
        <v/>
      </c>
    </row>
    <row r="31">
      <c r="A31" s="6" t="inlineStr">
        <is>
          <t>RESULTS</t>
        </is>
      </c>
    </row>
    <row r="32">
      <c r="A32" s="15" t="inlineStr">
        <is>
          <t>Gross yield</t>
        </is>
      </c>
      <c r="B32" s="18">
        <f>IF(N($B$7)&gt;0,$B$25/N($B$7),0)</f>
        <v/>
      </c>
    </row>
    <row r="33">
      <c r="A33" s="15" t="inlineStr">
        <is>
          <t>Net yield (before finance)</t>
        </is>
      </c>
      <c r="B33" s="18">
        <f>IF(N($B$7)&gt;0,($B$25-$B$27)/N($B$7),0)</f>
        <v/>
      </c>
    </row>
    <row r="34">
      <c r="A34" s="15" t="inlineStr">
        <is>
          <t>Return on cash in (ROI, before tax)</t>
        </is>
      </c>
      <c r="B34" s="18">
        <f>IF($B$17&gt;0,$B$28/$B$17,0)</f>
        <v/>
      </c>
    </row>
    <row r="36">
      <c r="A36" s="19" t="inlineStr">
        <is>
          <t>Locked in the free sample: HMO · BRRR · Flip · Scotland/Wales tax · Stress test · Personal vs Ltd · Compare · Summary</t>
        </is>
      </c>
    </row>
    <row r="38" ht="12" customHeight="1">
      <c r="A38" s="20" t="inlineStr">
        <is>
          <t>WHAT THE FULL VERSION ADDS</t>
        </is>
      </c>
    </row>
    <row r="39" ht="24" customHeight="1">
      <c r="A39" s="21" t="inlineStr">
        <is>
          <t>HMO, BRRR and flip tabs, Scotland (LBTT + ADS) and Wales (LTT) tax, mortgage stress test and lender ICR, Personal vs Ltd company comparison, side-by-side deal compare and a printable deal summary.</t>
        </is>
      </c>
    </row>
    <row r="40" ht="12" customHeight="1">
      <c r="A40" s="20" t="inlineStr">
        <is>
          <t>PLEASE NOTE</t>
        </is>
      </c>
    </row>
    <row r="41" ht="48" customHeight="1">
      <c r="A41" s="21" t="inlineStr">
        <is>
          <t>The results are only as good as the figures you put in, and the tax side is simplified. It doesn't cover every relief, exemption or special case, so check anything important with the official calculators or a qualified adviser. It isn't affiliated with or endorsed by HMRC, Revenue Scotland or the Welsh Revenue Authority. This is a calculator to help you keep track. It isn't legal, tax, financial or safety advice, and you're responsible for the figures you enter and the decisions you make with them. Income tax isn't calculated in this sample.</t>
        </is>
      </c>
    </row>
    <row r="42" ht="12" customHeight="1">
      <c r="A42" s="21" t="inlineStr">
        <is>
          <t>Licence: free for personal use. Please share the link rather than the file.</t>
        </is>
      </c>
    </row>
    <row r="43" ht="12" customHeight="1">
      <c r="A43" s="21" t="inlineStr">
        <is>
          <t>Free sample from HakmadeStudio. Full version on HakmadeStudio (Etsy): etsy.com/shop/HakmadeStudio</t>
        </is>
      </c>
    </row>
  </sheetData>
  <sheetProtection selectLockedCells="0" selectUnlockedCells="0" sheet="1" objects="0" insertRows="1" insertHyperlinks="1" autoFilter="1" scenarios="0" formatColumns="0" deleteColumns="1" insertColumns="1" pivotTables="1" deleteRows="1" formatCells="1" formatRows="0" sort="1"/>
  <mergeCells count="6">
    <mergeCell ref="A38:F38"/>
    <mergeCell ref="A41:F41"/>
    <mergeCell ref="A42:F42"/>
    <mergeCell ref="A40:F40"/>
    <mergeCell ref="A39:F39"/>
    <mergeCell ref="A43:F43"/>
  </mergeCells>
  <dataValidations count="2">
    <dataValidation sqref="B8" showDropDown="0" showInputMessage="0" showErrorMessage="0" allowBlank="0" type="list">
      <formula1>"First / only home,Additional property"</formula1>
    </dataValidation>
    <dataValidation sqref="B9" showDropDown="0" showInputMessage="0" showErrorMessage="0" allowBlank="0" type="list">
      <formula1>"Yes,No"</formula1>
    </dataValidation>
  </dataValidations>
  <pageMargins left="0.75" right="0.75" top="1" bottom="1" header="0.5" footer="0.5"/>
  <pageSetup orientation="portrait" paperSize="9" fitToHeight="1" fitToWidth="1"/>
  <headerFooter>
    <oddHeader/>
    <oddFooter>&amp;C&amp;7 HakmadeStudio free sample · Full version on HakmadeStudio (Etsy)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HakmadeStudio</dc:creator>
  <dcterms:created xmlns:dcterms="http://purl.org/dc/terms/" xmlns:xsi="http://www.w3.org/2001/XMLSchema-instance" xsi:type="dcterms:W3CDTF">2026-10-10T20:29:08Z</dcterms:created>
  <dcterms:modified xmlns:dcterms="http://purl.org/dc/terms/" xmlns:xsi="http://www.w3.org/2001/XMLSchema-instance" xsi:type="dcterms:W3CDTF">2026-10-10T20:29:08Z</dcterms:modified>
</cp:coreProperties>
</file>