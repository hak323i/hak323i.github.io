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inel Log" sheetId="1" state="visible" r:id="rId1"/>
  </sheets>
  <definedNames>
    <definedName name="_xlnm.Print_Titles" localSheetId="0">'Sentinel Log'!$11:$11</definedName>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0.0%"/>
  </numFmts>
  <fonts count="8">
    <font>
      <name val="Calibri"/>
      <family val="2"/>
      <color theme="1"/>
      <sz val="11"/>
      <scheme val="minor"/>
    </font>
    <font>
      <name val="Arial"/>
      <b val="1"/>
      <color rgb="00FFFFFF"/>
      <sz val="16"/>
    </font>
    <font>
      <name val="Arial"/>
      <color rgb="00FFFFFF"/>
      <sz val="9"/>
    </font>
    <font>
      <name val="Arial"/>
      <b val="1"/>
      <color rgb="00E3A33B"/>
      <sz val="8"/>
    </font>
    <font>
      <name val="Arial"/>
      <b val="1"/>
      <color rgb="002E3336"/>
      <sz val="9"/>
    </font>
    <font>
      <name val="Arial"/>
      <color rgb="002E3336"/>
      <sz val="9"/>
    </font>
    <font>
      <name val="Arial"/>
      <b val="1"/>
      <color rgb="00FFFFFF"/>
      <sz val="9"/>
    </font>
    <font>
      <name val="Arial"/>
      <i val="1"/>
      <color rgb="005A6064"/>
      <sz val="7.5"/>
    </font>
  </fonts>
  <fills count="6">
    <fill>
      <patternFill/>
    </fill>
    <fill>
      <patternFill patternType="gray125"/>
    </fill>
    <fill>
      <patternFill patternType="solid">
        <fgColor rgb="002E3336"/>
      </patternFill>
    </fill>
    <fill>
      <patternFill patternType="solid">
        <fgColor rgb="00E3A33B"/>
      </patternFill>
    </fill>
    <fill>
      <patternFill patternType="solid">
        <fgColor rgb="00FBEBD0"/>
      </patternFill>
    </fill>
    <fill>
      <patternFill patternType="solid">
        <fgColor rgb="00F2F3F4"/>
      </patternFill>
    </fill>
  </fills>
  <borders count="2">
    <border>
      <left/>
      <right/>
      <top/>
      <bottom/>
      <diagonal/>
    </border>
    <border>
      <left style="thin">
        <color rgb="00C9CCCE"/>
      </left>
      <right style="thin">
        <color rgb="00C9CCCE"/>
      </right>
      <top style="thin">
        <color rgb="00C9CCCE"/>
      </top>
      <bottom style="thin">
        <color rgb="00C9CCCE"/>
      </bottom>
    </border>
  </borders>
  <cellStyleXfs count="1">
    <xf numFmtId="0" fontId="0" fillId="0" borderId="0"/>
  </cellStyleXfs>
  <cellXfs count="18">
    <xf numFmtId="0" fontId="0" fillId="0" borderId="0" pivotButton="0" quotePrefix="0" xfId="0"/>
    <xf numFmtId="0" fontId="1" fillId="2" borderId="0" pivotButton="0" quotePrefix="0" xfId="0"/>
    <xf numFmtId="0" fontId="0" fillId="2" borderId="0" pivotButton="0" quotePrefix="0" xfId="0"/>
    <xf numFmtId="0" fontId="2" fillId="2" borderId="0" pivotButton="0" quotePrefix="0" xfId="0"/>
    <xf numFmtId="0" fontId="3" fillId="2" borderId="0" pivotButton="0" quotePrefix="0" xfId="0"/>
    <xf numFmtId="0" fontId="0" fillId="3" borderId="0" pivotButton="0" quotePrefix="0" xfId="0"/>
    <xf numFmtId="0" fontId="4" fillId="0" borderId="0" pivotButton="0" quotePrefix="0" xfId="0"/>
    <xf numFmtId="0" fontId="5" fillId="4" borderId="1" applyProtection="1" pivotButton="0" quotePrefix="0" xfId="0">
      <protection locked="0" hidden="0"/>
    </xf>
    <xf numFmtId="1" fontId="5" fillId="4" borderId="1" applyProtection="1" pivotButton="0" quotePrefix="0" xfId="0">
      <protection locked="0" hidden="0"/>
    </xf>
    <xf numFmtId="0" fontId="6" fillId="2" borderId="1" applyAlignment="1" pivotButton="0" quotePrefix="0" xfId="0">
      <alignment vertical="center" wrapText="1"/>
    </xf>
    <xf numFmtId="164" fontId="5" fillId="4" borderId="1" applyProtection="1" pivotButton="0" quotePrefix="0" xfId="0">
      <protection locked="0" hidden="0"/>
    </xf>
    <xf numFmtId="165" fontId="5" fillId="4" borderId="1" applyProtection="1" pivotButton="0" quotePrefix="0" xfId="0">
      <protection locked="0" hidden="0"/>
    </xf>
    <xf numFmtId="0" fontId="5" fillId="5" borderId="1" pivotButton="0" quotePrefix="0" xfId="0"/>
    <xf numFmtId="0" fontId="5" fillId="0" borderId="0" pivotButton="0" quotePrefix="0" xfId="0"/>
    <xf numFmtId="1" fontId="4" fillId="5" borderId="1" pivotButton="0" quotePrefix="0" xfId="0"/>
    <xf numFmtId="166" fontId="4" fillId="5" borderId="1" pivotButton="0" quotePrefix="0" xfId="0"/>
    <xf numFmtId="0" fontId="3"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dxfs count="2">
    <dxf>
      <font>
        <b val="1"/>
        <color rgb="00274E13"/>
      </font>
      <fill>
        <patternFill patternType="solid">
          <fgColor rgb="00D9EAD3"/>
        </patternFill>
      </fill>
    </dxf>
    <dxf>
      <font>
        <b val="1"/>
        <color rgb="00990000"/>
      </font>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43"/>
  <sheetViews>
    <sheetView showGridLines="0" workbookViewId="0">
      <pane ySplit="11" topLeftCell="A12" activePane="bottomLeft" state="frozen"/>
      <selection pane="bottomLeft" activeCell="A1" sqref="A1"/>
    </sheetView>
  </sheetViews>
  <sheetFormatPr baseColWidth="8" defaultRowHeight="15"/>
  <cols>
    <col width="12" customWidth="1" min="1" max="1"/>
    <col width="24" customWidth="1" min="2" max="2"/>
    <col width="12" customWidth="1" min="3" max="3"/>
    <col width="11" customWidth="1" min="4" max="4"/>
    <col width="11" customWidth="1" min="5" max="5"/>
    <col width="11" customWidth="1" min="6" max="6"/>
    <col width="11" customWidth="1" min="7" max="7"/>
    <col width="9" customWidth="1" min="8" max="8"/>
    <col width="30" customWidth="1" min="9" max="9"/>
    <col width="2" customWidth="1" min="10" max="10"/>
  </cols>
  <sheetData>
    <row r="1" ht="26" customHeight="1">
      <c r="A1" s="1" t="inlineStr">
        <is>
          <t>Monthly Sentinel Tap Temperature Log</t>
        </is>
      </c>
      <c r="B1" s="2" t="n"/>
      <c r="C1" s="2" t="n"/>
      <c r="D1" s="2" t="n"/>
      <c r="E1" s="2" t="n"/>
      <c r="F1" s="2" t="n"/>
      <c r="G1" s="2" t="n"/>
      <c r="H1" s="2" t="n"/>
      <c r="I1" s="2" t="n"/>
      <c r="J1" s="2" t="n"/>
    </row>
    <row r="2">
      <c r="A2" s="3" t="inlineStr">
        <is>
          <t>One month of sentinel outlet checks. PASS/FAIL colours itself against the targets below.</t>
        </is>
      </c>
      <c r="B2" s="2" t="n"/>
      <c r="C2" s="2" t="n"/>
      <c r="D2" s="2" t="n"/>
      <c r="E2" s="2" t="n"/>
      <c r="F2" s="2" t="n"/>
      <c r="G2" s="2" t="n"/>
      <c r="H2" s="2" t="n"/>
      <c r="I2" s="2" t="n"/>
      <c r="J2" s="2" t="n"/>
    </row>
    <row r="3">
      <c r="A3" s="4" t="inlineStr">
        <is>
          <t>FREE SAMPLE · amber cells are yours to fill in</t>
        </is>
      </c>
      <c r="B3" s="2" t="n"/>
      <c r="C3" s="2" t="n"/>
      <c r="D3" s="2" t="n"/>
      <c r="E3" s="2" t="n"/>
      <c r="F3" s="2" t="n"/>
      <c r="G3" s="2" t="n"/>
      <c r="H3" s="2" t="n"/>
      <c r="I3" s="2" t="n"/>
      <c r="J3" s="2" t="n"/>
    </row>
    <row r="4" ht="4" customHeight="1">
      <c r="A4" s="5" t="n"/>
      <c r="B4" s="5" t="n"/>
      <c r="C4" s="5" t="n"/>
      <c r="D4" s="5" t="n"/>
      <c r="E4" s="5" t="n"/>
      <c r="F4" s="5" t="n"/>
      <c r="G4" s="5" t="n"/>
      <c r="H4" s="5" t="n"/>
      <c r="I4" s="5" t="n"/>
      <c r="J4" s="5" t="n"/>
    </row>
    <row r="6">
      <c r="A6" s="6" t="inlineStr">
        <is>
          <t>Site / property</t>
        </is>
      </c>
      <c r="C6" s="7" t="n"/>
    </row>
    <row r="7">
      <c r="A7" s="6" t="inlineStr">
        <is>
          <t>Month</t>
        </is>
      </c>
      <c r="C7" s="7" t="n"/>
    </row>
    <row r="8">
      <c r="A8" s="6" t="inlineStr">
        <is>
          <t>Hot target °C (at or above)</t>
        </is>
      </c>
      <c r="C8" s="8" t="n">
        <v>50</v>
      </c>
    </row>
    <row r="9">
      <c r="A9" s="6" t="inlineStr">
        <is>
          <t>Cold target °C (below)</t>
        </is>
      </c>
      <c r="C9" s="8" t="n">
        <v>20</v>
      </c>
    </row>
    <row r="11" ht="26" customHeight="1">
      <c r="A11" s="9" t="inlineStr">
        <is>
          <t>Date</t>
        </is>
      </c>
      <c r="B11" s="9" t="inlineStr">
        <is>
          <t>Outlet / location</t>
        </is>
      </c>
      <c r="C11" s="9" t="inlineStr">
        <is>
          <t>Type</t>
        </is>
      </c>
      <c r="D11" s="9" t="inlineStr">
        <is>
          <t>Hot °C (1 min)</t>
        </is>
      </c>
      <c r="E11" s="9" t="inlineStr">
        <is>
          <t>Hot result</t>
        </is>
      </c>
      <c r="F11" s="9" t="inlineStr">
        <is>
          <t>Cold °C (2 min)</t>
        </is>
      </c>
      <c r="G11" s="9" t="inlineStr">
        <is>
          <t>Cold result</t>
        </is>
      </c>
      <c r="H11" s="9" t="inlineStr">
        <is>
          <t>Initials</t>
        </is>
      </c>
      <c r="I11" s="9" t="inlineStr">
        <is>
          <t>Notes / action taken</t>
        </is>
      </c>
    </row>
    <row r="12">
      <c r="A12" s="10" t="n"/>
      <c r="B12" s="7" t="n"/>
      <c r="C12" s="7" t="n"/>
      <c r="D12" s="11" t="n"/>
      <c r="E12" s="12">
        <f>IF(D12="","",IF(D12&gt;=$C$8,"PASS","FAIL"))</f>
        <v/>
      </c>
      <c r="F12" s="11" t="n"/>
      <c r="G12" s="12">
        <f>IF(F12="","",IF(F12&lt;$C$9,"PASS","FAIL"))</f>
        <v/>
      </c>
      <c r="H12" s="7" t="n"/>
      <c r="I12" s="7" t="n"/>
    </row>
    <row r="13">
      <c r="A13" s="10" t="n"/>
      <c r="B13" s="7" t="n"/>
      <c r="C13" s="7" t="n"/>
      <c r="D13" s="11" t="n"/>
      <c r="E13" s="12">
        <f>IF(D13="","",IF(D13&gt;=$C$8,"PASS","FAIL"))</f>
        <v/>
      </c>
      <c r="F13" s="11" t="n"/>
      <c r="G13" s="12">
        <f>IF(F13="","",IF(F13&lt;$C$9,"PASS","FAIL"))</f>
        <v/>
      </c>
      <c r="H13" s="7" t="n"/>
      <c r="I13" s="7" t="n"/>
    </row>
    <row r="14">
      <c r="A14" s="10" t="n"/>
      <c r="B14" s="7" t="n"/>
      <c r="C14" s="7" t="n"/>
      <c r="D14" s="11" t="n"/>
      <c r="E14" s="12">
        <f>IF(D14="","",IF(D14&gt;=$C$8,"PASS","FAIL"))</f>
        <v/>
      </c>
      <c r="F14" s="11" t="n"/>
      <c r="G14" s="12">
        <f>IF(F14="","",IF(F14&lt;$C$9,"PASS","FAIL"))</f>
        <v/>
      </c>
      <c r="H14" s="7" t="n"/>
      <c r="I14" s="7" t="n"/>
    </row>
    <row r="15">
      <c r="A15" s="10" t="n"/>
      <c r="B15" s="7" t="n"/>
      <c r="C15" s="7" t="n"/>
      <c r="D15" s="11" t="n"/>
      <c r="E15" s="12">
        <f>IF(D15="","",IF(D15&gt;=$C$8,"PASS","FAIL"))</f>
        <v/>
      </c>
      <c r="F15" s="11" t="n"/>
      <c r="G15" s="12">
        <f>IF(F15="","",IF(F15&lt;$C$9,"PASS","FAIL"))</f>
        <v/>
      </c>
      <c r="H15" s="7" t="n"/>
      <c r="I15" s="7" t="n"/>
    </row>
    <row r="16">
      <c r="A16" s="10" t="n"/>
      <c r="B16" s="7" t="n"/>
      <c r="C16" s="7" t="n"/>
      <c r="D16" s="11" t="n"/>
      <c r="E16" s="12">
        <f>IF(D16="","",IF(D16&gt;=$C$8,"PASS","FAIL"))</f>
        <v/>
      </c>
      <c r="F16" s="11" t="n"/>
      <c r="G16" s="12">
        <f>IF(F16="","",IF(F16&lt;$C$9,"PASS","FAIL"))</f>
        <v/>
      </c>
      <c r="H16" s="7" t="n"/>
      <c r="I16" s="7" t="n"/>
    </row>
    <row r="17">
      <c r="A17" s="10" t="n"/>
      <c r="B17" s="7" t="n"/>
      <c r="C17" s="7" t="n"/>
      <c r="D17" s="11" t="n"/>
      <c r="E17" s="12">
        <f>IF(D17="","",IF(D17&gt;=$C$8,"PASS","FAIL"))</f>
        <v/>
      </c>
      <c r="F17" s="11" t="n"/>
      <c r="G17" s="12">
        <f>IF(F17="","",IF(F17&lt;$C$9,"PASS","FAIL"))</f>
        <v/>
      </c>
      <c r="H17" s="7" t="n"/>
      <c r="I17" s="7" t="n"/>
    </row>
    <row r="18">
      <c r="A18" s="10" t="n"/>
      <c r="B18" s="7" t="n"/>
      <c r="C18" s="7" t="n"/>
      <c r="D18" s="11" t="n"/>
      <c r="E18" s="12">
        <f>IF(D18="","",IF(D18&gt;=$C$8,"PASS","FAIL"))</f>
        <v/>
      </c>
      <c r="F18" s="11" t="n"/>
      <c r="G18" s="12">
        <f>IF(F18="","",IF(F18&lt;$C$9,"PASS","FAIL"))</f>
        <v/>
      </c>
      <c r="H18" s="7" t="n"/>
      <c r="I18" s="7" t="n"/>
    </row>
    <row r="19">
      <c r="A19" s="10" t="n"/>
      <c r="B19" s="7" t="n"/>
      <c r="C19" s="7" t="n"/>
      <c r="D19" s="11" t="n"/>
      <c r="E19" s="12">
        <f>IF(D19="","",IF(D19&gt;=$C$8,"PASS","FAIL"))</f>
        <v/>
      </c>
      <c r="F19" s="11" t="n"/>
      <c r="G19" s="12">
        <f>IF(F19="","",IF(F19&lt;$C$9,"PASS","FAIL"))</f>
        <v/>
      </c>
      <c r="H19" s="7" t="n"/>
      <c r="I19" s="7" t="n"/>
    </row>
    <row r="20">
      <c r="A20" s="10" t="n"/>
      <c r="B20" s="7" t="n"/>
      <c r="C20" s="7" t="n"/>
      <c r="D20" s="11" t="n"/>
      <c r="E20" s="12">
        <f>IF(D20="","",IF(D20&gt;=$C$8,"PASS","FAIL"))</f>
        <v/>
      </c>
      <c r="F20" s="11" t="n"/>
      <c r="G20" s="12">
        <f>IF(F20="","",IF(F20&lt;$C$9,"PASS","FAIL"))</f>
        <v/>
      </c>
      <c r="H20" s="7" t="n"/>
      <c r="I20" s="7" t="n"/>
    </row>
    <row r="21">
      <c r="A21" s="10" t="n"/>
      <c r="B21" s="7" t="n"/>
      <c r="C21" s="7" t="n"/>
      <c r="D21" s="11" t="n"/>
      <c r="E21" s="12">
        <f>IF(D21="","",IF(D21&gt;=$C$8,"PASS","FAIL"))</f>
        <v/>
      </c>
      <c r="F21" s="11" t="n"/>
      <c r="G21" s="12">
        <f>IF(F21="","",IF(F21&lt;$C$9,"PASS","FAIL"))</f>
        <v/>
      </c>
      <c r="H21" s="7" t="n"/>
      <c r="I21" s="7" t="n"/>
    </row>
    <row r="22">
      <c r="A22" s="10" t="n"/>
      <c r="B22" s="7" t="n"/>
      <c r="C22" s="7" t="n"/>
      <c r="D22" s="11" t="n"/>
      <c r="E22" s="12">
        <f>IF(D22="","",IF(D22&gt;=$C$8,"PASS","FAIL"))</f>
        <v/>
      </c>
      <c r="F22" s="11" t="n"/>
      <c r="G22" s="12">
        <f>IF(F22="","",IF(F22&lt;$C$9,"PASS","FAIL"))</f>
        <v/>
      </c>
      <c r="H22" s="7" t="n"/>
      <c r="I22" s="7" t="n"/>
    </row>
    <row r="23">
      <c r="A23" s="10" t="n"/>
      <c r="B23" s="7" t="n"/>
      <c r="C23" s="7" t="n"/>
      <c r="D23" s="11" t="n"/>
      <c r="E23" s="12">
        <f>IF(D23="","",IF(D23&gt;=$C$8,"PASS","FAIL"))</f>
        <v/>
      </c>
      <c r="F23" s="11" t="n"/>
      <c r="G23" s="12">
        <f>IF(F23="","",IF(F23&lt;$C$9,"PASS","FAIL"))</f>
        <v/>
      </c>
      <c r="H23" s="7" t="n"/>
      <c r="I23" s="7" t="n"/>
    </row>
    <row r="24">
      <c r="A24" s="10" t="n"/>
      <c r="B24" s="7" t="n"/>
      <c r="C24" s="7" t="n"/>
      <c r="D24" s="11" t="n"/>
      <c r="E24" s="12">
        <f>IF(D24="","",IF(D24&gt;=$C$8,"PASS","FAIL"))</f>
        <v/>
      </c>
      <c r="F24" s="11" t="n"/>
      <c r="G24" s="12">
        <f>IF(F24="","",IF(F24&lt;$C$9,"PASS","FAIL"))</f>
        <v/>
      </c>
      <c r="H24" s="7" t="n"/>
      <c r="I24" s="7" t="n"/>
    </row>
    <row r="25">
      <c r="A25" s="10" t="n"/>
      <c r="B25" s="7" t="n"/>
      <c r="C25" s="7" t="n"/>
      <c r="D25" s="11" t="n"/>
      <c r="E25" s="12">
        <f>IF(D25="","",IF(D25&gt;=$C$8,"PASS","FAIL"))</f>
        <v/>
      </c>
      <c r="F25" s="11" t="n"/>
      <c r="G25" s="12">
        <f>IF(F25="","",IF(F25&lt;$C$9,"PASS","FAIL"))</f>
        <v/>
      </c>
      <c r="H25" s="7" t="n"/>
      <c r="I25" s="7" t="n"/>
    </row>
    <row r="26">
      <c r="A26" s="10" t="n"/>
      <c r="B26" s="7" t="n"/>
      <c r="C26" s="7" t="n"/>
      <c r="D26" s="11" t="n"/>
      <c r="E26" s="12">
        <f>IF(D26="","",IF(D26&gt;=$C$8,"PASS","FAIL"))</f>
        <v/>
      </c>
      <c r="F26" s="11" t="n"/>
      <c r="G26" s="12">
        <f>IF(F26="","",IF(F26&lt;$C$9,"PASS","FAIL"))</f>
        <v/>
      </c>
      <c r="H26" s="7" t="n"/>
      <c r="I26" s="7" t="n"/>
    </row>
    <row r="27">
      <c r="A27" s="10" t="n"/>
      <c r="B27" s="7" t="n"/>
      <c r="C27" s="7" t="n"/>
      <c r="D27" s="11" t="n"/>
      <c r="E27" s="12">
        <f>IF(D27="","",IF(D27&gt;=$C$8,"PASS","FAIL"))</f>
        <v/>
      </c>
      <c r="F27" s="11" t="n"/>
      <c r="G27" s="12">
        <f>IF(F27="","",IF(F27&lt;$C$9,"PASS","FAIL"))</f>
        <v/>
      </c>
      <c r="H27" s="7" t="n"/>
      <c r="I27" s="7" t="n"/>
    </row>
    <row r="28">
      <c r="A28" s="10" t="n"/>
      <c r="B28" s="7" t="n"/>
      <c r="C28" s="7" t="n"/>
      <c r="D28" s="11" t="n"/>
      <c r="E28" s="12">
        <f>IF(D28="","",IF(D28&gt;=$C$8,"PASS","FAIL"))</f>
        <v/>
      </c>
      <c r="F28" s="11" t="n"/>
      <c r="G28" s="12">
        <f>IF(F28="","",IF(F28&lt;$C$9,"PASS","FAIL"))</f>
        <v/>
      </c>
      <c r="H28" s="7" t="n"/>
      <c r="I28" s="7" t="n"/>
    </row>
    <row r="29">
      <c r="A29" s="10" t="n"/>
      <c r="B29" s="7" t="n"/>
      <c r="C29" s="7" t="n"/>
      <c r="D29" s="11" t="n"/>
      <c r="E29" s="12">
        <f>IF(D29="","",IF(D29&gt;=$C$8,"PASS","FAIL"))</f>
        <v/>
      </c>
      <c r="F29" s="11" t="n"/>
      <c r="G29" s="12">
        <f>IF(F29="","",IF(F29&lt;$C$9,"PASS","FAIL"))</f>
        <v/>
      </c>
      <c r="H29" s="7" t="n"/>
      <c r="I29" s="7" t="n"/>
    </row>
    <row r="30">
      <c r="A30" s="10" t="n"/>
      <c r="B30" s="7" t="n"/>
      <c r="C30" s="7" t="n"/>
      <c r="D30" s="11" t="n"/>
      <c r="E30" s="12">
        <f>IF(D30="","",IF(D30&gt;=$C$8,"PASS","FAIL"))</f>
        <v/>
      </c>
      <c r="F30" s="11" t="n"/>
      <c r="G30" s="12">
        <f>IF(F30="","",IF(F30&lt;$C$9,"PASS","FAIL"))</f>
        <v/>
      </c>
      <c r="H30" s="7" t="n"/>
      <c r="I30" s="7" t="n"/>
    </row>
    <row r="31">
      <c r="A31" s="10" t="n"/>
      <c r="B31" s="7" t="n"/>
      <c r="C31" s="7" t="n"/>
      <c r="D31" s="11" t="n"/>
      <c r="E31" s="12">
        <f>IF(D31="","",IF(D31&gt;=$C$8,"PASS","FAIL"))</f>
        <v/>
      </c>
      <c r="F31" s="11" t="n"/>
      <c r="G31" s="12">
        <f>IF(F31="","",IF(F31&lt;$C$9,"PASS","FAIL"))</f>
        <v/>
      </c>
      <c r="H31" s="7" t="n"/>
      <c r="I31" s="7" t="n"/>
    </row>
    <row r="33">
      <c r="A33" s="6" t="inlineStr">
        <is>
          <t>Month summary</t>
        </is>
      </c>
    </row>
    <row r="34">
      <c r="A34" s="13" t="inlineStr">
        <is>
          <t>Readings taken</t>
        </is>
      </c>
      <c r="C34" s="14">
        <f>COUNT(D12:D31)+COUNT(F12:F31)</f>
        <v/>
      </c>
    </row>
    <row r="35">
      <c r="A35" s="13" t="inlineStr">
        <is>
          <t>Fails</t>
        </is>
      </c>
      <c r="C35" s="14">
        <f>COUNTIF(E12:E31,"FAIL")+COUNTIF(G12:G31,"FAIL")</f>
        <v/>
      </c>
    </row>
    <row r="36">
      <c r="A36" s="13" t="inlineStr">
        <is>
          <t>Pass rate</t>
        </is>
      </c>
      <c r="C36" s="15">
        <f>IFERROR(1-C35/C34,"")</f>
        <v/>
      </c>
    </row>
    <row r="38" ht="12" customHeight="1">
      <c r="A38" s="16" t="inlineStr">
        <is>
          <t>WHAT THE FULL VERSION ADDS</t>
        </is>
      </c>
    </row>
    <row r="39" ht="24" customHeight="1">
      <c r="A39" s="17" t="inlineStr">
        <is>
          <t>all 6 logbook tabs (temperatures, TMV service records, weekly flushing, remedials, asset register, inspection-ready dashboard), drop-down outlets and instructions.</t>
        </is>
      </c>
    </row>
    <row r="40" ht="12" customHeight="1">
      <c r="A40" s="16" t="inlineStr">
        <is>
          <t>PLEASE NOTE</t>
        </is>
      </c>
    </row>
    <row r="41" ht="36" customHeight="1">
      <c r="A41" s="17" t="inlineStr">
        <is>
          <t>This is a record-keeping aid. It doesn't replace a legionella risk assessment or a competent person, it doesn't certify compliance with anything, and it isn't affiliated with or endorsed by the HSE. You're responsible for the readings you enter and for checking the results against your own risk assessment. Always follow your own site's written scheme.</t>
        </is>
      </c>
    </row>
    <row r="42" ht="12" customHeight="1">
      <c r="A42" s="17" t="inlineStr">
        <is>
          <t>Licence: free for personal use. Please share the link rather than the file.</t>
        </is>
      </c>
    </row>
    <row r="43" ht="12" customHeight="1">
      <c r="A43" s="17" t="inlineStr">
        <is>
          <t>Free sample from HakmadeStudio. Full version on HakmadeStudio (Etsy): etsy.com/shop/HakmadeStudio</t>
        </is>
      </c>
    </row>
  </sheetData>
  <sheetProtection selectLockedCells="0" selectUnlockedCells="0" sheet="1" objects="0" insertRows="1" insertHyperlinks="1" autoFilter="1" scenarios="0" formatColumns="0" deleteColumns="1" insertColumns="1" pivotTables="1" deleteRows="1" formatCells="1" formatRows="0" sort="1"/>
  <mergeCells count="10">
    <mergeCell ref="A43:I43"/>
    <mergeCell ref="A41:I41"/>
    <mergeCell ref="A7:B7"/>
    <mergeCell ref="A42:I42"/>
    <mergeCell ref="A40:I40"/>
    <mergeCell ref="A39:I39"/>
    <mergeCell ref="A9:B9"/>
    <mergeCell ref="A8:B8"/>
    <mergeCell ref="A6:B6"/>
    <mergeCell ref="A38:I38"/>
  </mergeCells>
  <conditionalFormatting sqref="E12:E31">
    <cfRule type="expression" priority="1" dxfId="0">
      <formula>E12="PASS"</formula>
    </cfRule>
    <cfRule type="expression" priority="2" dxfId="1">
      <formula>E12="FAIL"</formula>
    </cfRule>
  </conditionalFormatting>
  <conditionalFormatting sqref="G12:G31">
    <cfRule type="expression" priority="3" dxfId="0">
      <formula>G12="PASS"</formula>
    </cfRule>
    <cfRule type="expression" priority="4" dxfId="1">
      <formula>G12="FAIL"</formula>
    </cfRule>
  </conditionalFormatting>
  <dataValidations count="2">
    <dataValidation sqref="C12 C13 C14 C15 C16 C17 C18 C19 C20 C21 C22 C23 C24 C25 C26 C27 C28 C29 C30 C31" showDropDown="0" showInputMessage="0" showErrorMessage="0" allowBlank="1" type="list">
      <formula1>"Hot,Cold,Mixed"</formula1>
    </dataValidation>
    <dataValidation sqref="D12 D13 D14 D15 D16 D17 D18 D19 D20 D21 D22 D23 D24 D25 D26 D27 D28 D29 D30 D31 F12 F13 F14 F15 F16 F17 F18 F19 F20 F21 F22 F23 F24 F25 F26 F27 F28 F29 F30 F31" showDropDown="0" showInputMessage="0" showErrorMessage="0" allowBlank="1" error="Enter a temperature 0-100°C" type="decimal" operator="between">
      <formula1>0</formula1>
      <formula2>100</formula2>
    </dataValidation>
  </dataValidations>
  <pageMargins left="0.75" right="0.75" top="1" bottom="1" header="0.5" footer="0.5"/>
  <pageSetup orientation="landscape" paperSize="9" fitToHeight="1" fitToWidth="1"/>
  <headerFooter>
    <oddHeader/>
    <oddFooter>&amp;C&amp;7 HakmadeStudio free sample · Full version on HakmadeStudio (Etsy)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HakmadeStudio</dc:creator>
  <dcterms:created xmlns:dcterms="http://purl.org/dc/terms/" xmlns:xsi="http://www.w3.org/2001/XMLSchema-instance" xsi:type="dcterms:W3CDTF">2026-10-10T20:29:08Z</dcterms:created>
  <dcterms:modified xmlns:dcterms="http://purl.org/dc/terms/" xmlns:xsi="http://www.w3.org/2001/XMLSchema-instance" xsi:type="dcterms:W3CDTF">2026-10-10T20:29:08Z</dcterms:modified>
</cp:coreProperties>
</file>