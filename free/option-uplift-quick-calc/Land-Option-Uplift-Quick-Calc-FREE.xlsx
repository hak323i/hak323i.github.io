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Calc" sheetId="1" state="visible" r:id="rId1"/>
  </sheets>
  <definedNames/>
  <calcPr calcId="124519" fullCalcOnLoad="1"/>
</workbook>
</file>

<file path=xl/styles.xml><?xml version="1.0" encoding="utf-8"?>
<styleSheet xmlns="http://schemas.openxmlformats.org/spreadsheetml/2006/main">
  <numFmts count="3">
    <numFmt numFmtId="164" formatCode="&quot;£&quot;#,##0;-&quot;£&quot;#,##0"/>
    <numFmt numFmtId="165" formatCode="0.0%"/>
    <numFmt numFmtId="166" formatCode="0.0&quot;x&quot;"/>
  </numFmts>
  <fonts count="8">
    <font>
      <name val="Calibri"/>
      <family val="2"/>
      <color theme="1"/>
      <sz val="11"/>
      <scheme val="minor"/>
    </font>
    <font>
      <name val="Arial"/>
      <b val="1"/>
      <color rgb="00FFFFFF"/>
      <sz val="16"/>
    </font>
    <font>
      <name val="Arial"/>
      <color rgb="00FFFFFF"/>
      <sz val="9"/>
    </font>
    <font>
      <name val="Arial"/>
      <b val="1"/>
      <color rgb="00E3A33B"/>
      <sz val="8"/>
    </font>
    <font>
      <name val="Arial"/>
      <b val="1"/>
      <color rgb="00E3A33B"/>
      <sz val="10"/>
    </font>
    <font>
      <name val="Arial"/>
      <color rgb="002E3336"/>
      <sz val="9"/>
    </font>
    <font>
      <name val="Arial"/>
      <i val="1"/>
      <color rgb="005A6064"/>
      <sz val="7.5"/>
    </font>
    <font>
      <name val="Arial"/>
      <b val="1"/>
      <color rgb="002E3336"/>
      <sz val="9"/>
    </font>
  </fonts>
  <fills count="6">
    <fill>
      <patternFill/>
    </fill>
    <fill>
      <patternFill patternType="gray125"/>
    </fill>
    <fill>
      <patternFill patternType="solid">
        <fgColor rgb="002E3336"/>
      </patternFill>
    </fill>
    <fill>
      <patternFill patternType="solid">
        <fgColor rgb="00E3A33B"/>
      </patternFill>
    </fill>
    <fill>
      <patternFill patternType="solid">
        <fgColor rgb="00FBEBD0"/>
      </patternFill>
    </fill>
    <fill>
      <patternFill patternType="solid">
        <fgColor rgb="00F2F3F4"/>
      </patternFill>
    </fill>
  </fills>
  <borders count="2">
    <border>
      <left/>
      <right/>
      <top/>
      <bottom/>
      <diagonal/>
    </border>
    <border>
      <left style="thin">
        <color rgb="00C9CCCE"/>
      </left>
      <right style="thin">
        <color rgb="00C9CCCE"/>
      </right>
      <top style="thin">
        <color rgb="00C9CCCE"/>
      </top>
      <bottom style="thin">
        <color rgb="00C9CCCE"/>
      </bottom>
    </border>
  </borders>
  <cellStyleXfs count="1">
    <xf numFmtId="0" fontId="0" fillId="0" borderId="0"/>
  </cellStyleXfs>
  <cellXfs count="19">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0" fillId="3" borderId="0" pivotButton="0" quotePrefix="0" xfId="0"/>
    <xf numFmtId="0" fontId="4" fillId="0" borderId="0" pivotButton="0" quotePrefix="0" xfId="0"/>
    <xf numFmtId="0" fontId="5" fillId="0" borderId="0" pivotButton="0" quotePrefix="0" xfId="0"/>
    <xf numFmtId="164" fontId="5" fillId="4" borderId="1" applyProtection="1" pivotButton="0" quotePrefix="0" xfId="0">
      <protection locked="0" hidden="0"/>
    </xf>
    <xf numFmtId="0" fontId="6" fillId="0" borderId="0" pivotButton="0" quotePrefix="0" xfId="0"/>
    <xf numFmtId="1" fontId="5" fillId="4" borderId="1" applyProtection="1" pivotButton="0" quotePrefix="0" xfId="0">
      <protection locked="0" hidden="0"/>
    </xf>
    <xf numFmtId="165" fontId="5" fillId="4" borderId="1" applyProtection="1" pivotButton="0" quotePrefix="0" xfId="0">
      <protection locked="0" hidden="0"/>
    </xf>
    <xf numFmtId="164" fontId="5" fillId="5" borderId="1" pivotButton="0" quotePrefix="0" xfId="0"/>
    <xf numFmtId="0" fontId="7" fillId="0" borderId="0" pivotButton="0" quotePrefix="0" xfId="0"/>
    <xf numFmtId="164" fontId="7" fillId="5" borderId="1" pivotButton="0" quotePrefix="0" xfId="0"/>
    <xf numFmtId="166" fontId="5" fillId="5" borderId="1" pivotButton="0" quotePrefix="0" xfId="0"/>
    <xf numFmtId="165" fontId="5" fillId="5" borderId="1" pivotButton="0" quotePrefix="0" xfId="0"/>
    <xf numFmtId="0" fontId="3"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6"/>
  <sheetViews>
    <sheetView showGridLines="0" workbookViewId="0">
      <selection activeCell="A1" sqref="A1"/>
    </sheetView>
  </sheetViews>
  <sheetFormatPr baseColWidth="8" defaultRowHeight="15"/>
  <cols>
    <col width="46" customWidth="1" min="1" max="1"/>
    <col width="16" customWidth="1" min="2" max="2"/>
    <col width="52" customWidth="1" min="3" max="3"/>
  </cols>
  <sheetData>
    <row r="1" ht="26" customHeight="1">
      <c r="A1" s="1" t="inlineStr">
        <is>
          <t>Land Option Uplift · Quick Calc</t>
        </is>
      </c>
      <c r="B1" s="2" t="n"/>
      <c r="C1" s="2" t="n"/>
    </row>
    <row r="2">
      <c r="A2" s="3" t="inlineStr">
        <is>
          <t>Option price vs planning uplift with a simple one-stage residual land value</t>
        </is>
      </c>
      <c r="B2" s="2" t="n"/>
      <c r="C2" s="2" t="n"/>
    </row>
    <row r="3">
      <c r="A3" s="4" t="inlineStr">
        <is>
          <t>FREE SAMPLE · amber cells are yours to fill in</t>
        </is>
      </c>
      <c r="B3" s="2" t="n"/>
      <c r="C3" s="2" t="n"/>
    </row>
    <row r="4" ht="4" customHeight="1">
      <c r="A4" s="5" t="n"/>
      <c r="B4" s="5" t="n"/>
      <c r="C4" s="5" t="n"/>
    </row>
    <row r="6">
      <c r="A6" s="6" t="inlineStr">
        <is>
          <t>TODAY</t>
        </is>
      </c>
    </row>
    <row r="7">
      <c r="A7" s="7" t="inlineStr">
        <is>
          <t>Current use value (CUV) of the land</t>
        </is>
      </c>
      <c r="B7" s="8" t="n"/>
      <c r="C7" s="9" t="inlineStr">
        <is>
          <t>e.g. agricultural value today.</t>
        </is>
      </c>
    </row>
    <row r="9">
      <c r="A9" s="6" t="inlineStr">
        <is>
          <t>WITH PLANNING (simple residual)</t>
        </is>
      </c>
    </row>
    <row r="10">
      <c r="A10" s="7" t="inlineStr">
        <is>
          <t>Number of homes</t>
        </is>
      </c>
      <c r="B10" s="10" t="n"/>
      <c r="C10" s="9" t="inlineStr"/>
    </row>
    <row r="11">
      <c r="A11" s="7" t="inlineStr">
        <is>
          <t>Average sale price per home</t>
        </is>
      </c>
      <c r="B11" s="8" t="n"/>
      <c r="C11" s="9" t="inlineStr"/>
    </row>
    <row r="12">
      <c r="A12" s="7" t="inlineStr">
        <is>
          <t>Build cost per home (incl. externals)</t>
        </is>
      </c>
      <c r="B12" s="8" t="n"/>
      <c r="C12" s="9" t="inlineStr"/>
    </row>
    <row r="13">
      <c r="A13" s="7" t="inlineStr">
        <is>
          <t>Professional fees % of build</t>
        </is>
      </c>
      <c r="B13" s="11" t="n">
        <v>0.1</v>
      </c>
      <c r="C13" s="9" t="inlineStr"/>
    </row>
    <row r="14">
      <c r="A14" s="7" t="inlineStr">
        <is>
          <t>Planning obligations (S106 / CIL) total</t>
        </is>
      </c>
      <c r="B14" s="8" t="n"/>
      <c r="C14" s="9" t="inlineStr"/>
    </row>
    <row r="15">
      <c r="A15" s="7" t="inlineStr">
        <is>
          <t>Developer's profit % of GDV</t>
        </is>
      </c>
      <c r="B15" s="11" t="n">
        <v>0.2</v>
      </c>
      <c r="C15" s="9" t="inlineStr"/>
    </row>
    <row r="16">
      <c r="A16" s="7" t="inlineStr">
        <is>
          <t>Gross development value (GDV)</t>
        </is>
      </c>
      <c r="B16" s="12">
        <f>N($B$10)*N($B$11)</f>
        <v/>
      </c>
      <c r="C16" s="9" t="inlineStr"/>
    </row>
    <row r="17">
      <c r="A17" s="7" t="inlineStr">
        <is>
          <t>Build + fees</t>
        </is>
      </c>
      <c r="B17" s="12">
        <f>N($B$10)*N($B$12)*(1+N($B$13))</f>
        <v/>
      </c>
      <c r="C17" s="9" t="inlineStr"/>
    </row>
    <row r="18">
      <c r="A18" s="13" t="inlineStr">
        <is>
          <t>Residual land value (with planning)</t>
        </is>
      </c>
      <c r="B18" s="14">
        <f>MAX(0,$B$16-$B$17-N($B$14)-$B$16*N($B$15))</f>
        <v/>
      </c>
      <c r="C18" s="9" t="inlineStr">
        <is>
          <t>What a developer could pay for the land.</t>
        </is>
      </c>
    </row>
    <row r="19">
      <c r="A19" s="13" t="inlineStr">
        <is>
          <t>Planning uplift</t>
        </is>
      </c>
      <c r="B19" s="14">
        <f>$B$18-N($B$7)</f>
        <v/>
      </c>
      <c r="C19" s="9" t="inlineStr">
        <is>
          <t>Value with planning minus today's value.</t>
        </is>
      </c>
    </row>
    <row r="20">
      <c r="A20" s="7" t="inlineStr">
        <is>
          <t>Uplift multiple</t>
        </is>
      </c>
      <c r="B20" s="15">
        <f>IF(N($B$7)&gt;0,$B$18/N($B$7),0)</f>
        <v/>
      </c>
      <c r="C20" s="9" t="inlineStr"/>
    </row>
    <row r="22">
      <c r="A22" s="6" t="inlineStr">
        <is>
          <t>OPTION</t>
        </is>
      </c>
    </row>
    <row r="23">
      <c r="A23" s="7" t="inlineStr">
        <is>
          <t>Option premium paid to landowner up front</t>
        </is>
      </c>
      <c r="B23" s="8" t="n"/>
      <c r="C23" s="9" t="inlineStr"/>
    </row>
    <row r="24">
      <c r="A24" s="7" t="inlineStr">
        <is>
          <t>Discount to market value at exercise %</t>
        </is>
      </c>
      <c r="B24" s="11" t="n">
        <v>0.15</v>
      </c>
      <c r="C24" s="9" t="inlineStr"/>
    </row>
    <row r="25">
      <c r="A25" s="7" t="inlineStr">
        <is>
          <t>Promotion &amp; planning costs (option holder)</t>
        </is>
      </c>
      <c r="B25" s="8" t="n"/>
      <c r="C25" s="9" t="inlineStr"/>
    </row>
    <row r="26">
      <c r="A26" s="13" t="inlineStr">
        <is>
          <t>Option price payable at exercise</t>
        </is>
      </c>
      <c r="B26" s="14">
        <f>$B$18*(1-N($B$24))</f>
        <v/>
      </c>
      <c r="C26" s="9" t="inlineStr">
        <is>
          <t>Value with planning less the agreed discount.</t>
        </is>
      </c>
    </row>
    <row r="27">
      <c r="A27" s="7" t="inlineStr">
        <is>
          <t>Landowner receives (premium + option price)</t>
        </is>
      </c>
      <c r="B27" s="12">
        <f>N($B$23)+$B$26</f>
        <v/>
      </c>
      <c r="C27" s="9" t="inlineStr"/>
    </row>
    <row r="28">
      <c r="A28" s="13" t="inlineStr">
        <is>
          <t>Option holder margin before tax</t>
        </is>
      </c>
      <c r="B28" s="14">
        <f>$B$18-$B$26-N($B$23)-N($B$25)</f>
        <v/>
      </c>
      <c r="C28" s="9" t="inlineStr"/>
    </row>
    <row r="29">
      <c r="A29" s="7" t="inlineStr">
        <is>
          <t>Option holder return on costs</t>
        </is>
      </c>
      <c r="B29" s="16">
        <f>IF(N($B$23)+N($B$25)&gt;0,$B$28/(N($B$23)+N($B$25)),0)</f>
        <v/>
      </c>
      <c r="C29" s="9" t="inlineStr"/>
    </row>
    <row r="31" ht="12" customHeight="1">
      <c r="A31" s="17" t="inlineStr">
        <is>
          <t>WHAT THE FULL VERSION ADDS</t>
        </is>
      </c>
    </row>
    <row r="32" ht="24" customHeight="1">
      <c r="A32" s="18" t="inlineStr">
        <is>
          <t>per-plot / per-acre / residual valuation methods, option vs promotion agreement side by side, landowner / promoter / investor split, purchase and sale costs, scenarios and sensitivity tables, and a one-page summary.</t>
        </is>
      </c>
    </row>
    <row r="33" ht="12" customHeight="1">
      <c r="A33" s="17" t="inlineStr">
        <is>
          <t>PLEASE NOTE</t>
        </is>
      </c>
    </row>
    <row r="34" ht="36" customHeight="1">
      <c r="A34" s="18" t="inlineStr">
        <is>
          <t>The residual valuation is a simple one-stage estimate, not a full development appraisal or a RICS valuation. This is a calculator to help you keep track. It isn't legal, tax, financial or safety advice, and you're responsible for the figures you enter and the decisions you make with them. This sample ignores purchase/sale costs, tax and finance timing.</t>
        </is>
      </c>
    </row>
    <row r="35" ht="12" customHeight="1">
      <c r="A35" s="18" t="inlineStr">
        <is>
          <t>Licence: free for personal use. Please share the link rather than the file.</t>
        </is>
      </c>
    </row>
    <row r="36" ht="12" customHeight="1">
      <c r="A36" s="18" t="inlineStr">
        <is>
          <t>Free sample from HakmadeStudio. Full version on HakmadeStudio (Etsy): etsy.com/shop/HakmadeStudio</t>
        </is>
      </c>
    </row>
  </sheetData>
  <sheetProtection selectLockedCells="0" selectUnlockedCells="0" sheet="1" objects="0" insertRows="1" insertHyperlinks="1" autoFilter="1" scenarios="0" formatColumns="0" deleteColumns="1" insertColumns="1" pivotTables="1" deleteRows="1" formatCells="1" formatRows="0" sort="1"/>
  <mergeCells count="6">
    <mergeCell ref="A33:C33"/>
    <mergeCell ref="A36:C36"/>
    <mergeCell ref="A32:C32"/>
    <mergeCell ref="A31:C31"/>
    <mergeCell ref="A34:C34"/>
    <mergeCell ref="A35:C35"/>
  </mergeCells>
  <pageMargins left="0.75" right="0.75" top="1" bottom="1" header="0.5" footer="0.5"/>
  <pageSetup orientation="portrait" paperSize="9" fitToHeight="1" fitToWidth="1"/>
  <headerFooter>
    <oddHeader/>
    <oddFooter>&amp;C&amp;7 HakmadeStudio free sample · Full version on HakmadeStudio (Etsy)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HakmadeStudio</dc:creator>
  <dcterms:created xmlns:dcterms="http://purl.org/dc/terms/" xmlns:xsi="http://www.w3.org/2001/XMLSchema-instance" xsi:type="dcterms:W3CDTF">2026-10-10T20:29:08Z</dcterms:created>
  <dcterms:modified xmlns:dcterms="http://purl.org/dc/terms/" xmlns:xsi="http://www.w3.org/2001/XMLSchema-instance" xsi:type="dcterms:W3CDTF">2026-10-10T20:29:08Z</dcterms:modified>
</cp:coreProperties>
</file>