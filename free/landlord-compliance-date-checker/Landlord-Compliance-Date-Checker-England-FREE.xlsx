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Che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b val="1"/>
      <color rgb="00E3A33B"/>
      <sz val="8"/>
    </font>
    <font>
      <name val="Arial"/>
      <b val="1"/>
      <color rgb="002E3336"/>
      <sz val="9"/>
    </font>
    <font>
      <name val="Arial"/>
      <color rgb="002E3336"/>
      <sz val="9"/>
    </font>
    <font>
      <name val="Arial"/>
      <b val="1"/>
      <color rgb="00FFFFFF"/>
      <sz val="9"/>
    </font>
    <font>
      <name val="Arial"/>
      <i val="1"/>
      <color rgb="005A6064"/>
      <sz val="7.5"/>
    </font>
  </fonts>
  <fills count="6">
    <fill>
      <patternFill/>
    </fill>
    <fill>
      <patternFill patternType="gray125"/>
    </fill>
    <fill>
      <patternFill patternType="solid">
        <fgColor rgb="002E3336"/>
      </patternFill>
    </fill>
    <fill>
      <patternFill patternType="solid">
        <fgColor rgb="00E3A33B"/>
      </patternFill>
    </fill>
    <fill>
      <patternFill patternType="solid">
        <fgColor rgb="00FBEBD0"/>
      </patternFill>
    </fill>
    <fill>
      <patternFill patternType="solid">
        <fgColor rgb="00F2F3F4"/>
      </patternFill>
    </fill>
  </fills>
  <borders count="6">
    <border>
      <left/>
      <right/>
      <top/>
      <bottom/>
      <diagonal/>
    </border>
    <border>
      <left style="thin">
        <color rgb="00C9CCCE"/>
      </left>
      <right style="thin">
        <color rgb="00C9CCCE"/>
      </right>
      <top style="thin">
        <color rgb="00C9CCCE"/>
      </top>
      <bottom style="thin">
        <color rgb="00C9CCCE"/>
      </bottom>
    </border>
    <border>
      <left/>
      <right/>
      <top style="thin">
        <color rgb="00C9CCCE"/>
      </top>
      <bottom/>
      <diagonal/>
    </border>
    <border>
      <left/>
      <right style="thin">
        <color rgb="00C9CCCE"/>
      </right>
      <top style="thin">
        <color rgb="00C9CCCE"/>
      </top>
      <bottom/>
      <diagonal/>
    </border>
    <border>
      <left/>
      <right/>
      <top style="thin">
        <color rgb="00C9CCCE"/>
      </top>
      <bottom style="thin">
        <color rgb="00C9CCCE"/>
      </bottom>
      <diagonal/>
    </border>
    <border>
      <left/>
      <right style="thin">
        <color rgb="00C9CCCE"/>
      </right>
      <top style="thin">
        <color rgb="00C9CCCE"/>
      </top>
      <bottom style="thin">
        <color rgb="00C9CCCE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" fontId="5" fillId="4" borderId="1" applyProtection="1" pivotButton="0" quotePrefix="0" xfId="0">
      <protection locked="0" hidden="0"/>
    </xf>
    <xf numFmtId="164" fontId="5" fillId="5" borderId="1" pivotButton="0" quotePrefix="0" xfId="0"/>
    <xf numFmtId="0" fontId="6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5" fillId="4" borderId="1" applyProtection="1" pivotButton="0" quotePrefix="0" xfId="0">
      <protection locked="0" hidden="0"/>
    </xf>
    <xf numFmtId="0" fontId="5" fillId="0" borderId="0" pivotButton="0" quotePrefix="0" xfId="0"/>
    <xf numFmtId="1" fontId="5" fillId="5" borderId="1" pivotButton="0" quotePrefix="0" xfId="0"/>
    <xf numFmtId="0" fontId="4" fillId="5" borderId="1" pivotButton="0" quotePrefix="0" xfId="0"/>
    <xf numFmtId="0" fontId="7" fillId="0" borderId="0" applyAlignment="1" pivotButton="0" quotePrefix="0" xfId="0">
      <alignment vertical="top" wrapText="1"/>
    </xf>
    <xf numFmtId="0" fontId="7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90000"/>
      </font>
      <fill>
        <patternFill patternType="solid">
          <fgColor rgb="00F4CCCC"/>
        </patternFill>
      </fill>
    </dxf>
    <dxf>
      <font>
        <b val="1"/>
        <color rgb="007F5A10"/>
      </font>
      <fill>
        <patternFill patternType="solid">
          <fgColor rgb="00FBEBD0"/>
        </patternFill>
      </fill>
    </dxf>
    <dxf>
      <font>
        <b val="1"/>
        <color rgb="00274E13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3" customWidth="1" min="4" max="4"/>
    <col width="10" customWidth="1" min="5" max="5"/>
    <col width="12" customWidth="1" min="6" max="6"/>
    <col width="62" customWidth="1" min="7" max="7"/>
  </cols>
  <sheetData>
    <row r="1" ht="26" customHeight="1">
      <c r="A1" s="1" t="inlineStr">
        <is>
          <t>Landlord Compliance Date Checker (England)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One property: type the date each item was last done and see when it's next due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FREE SAMPLE · amber cells are yours to fill in</t>
        </is>
      </c>
      <c r="B3" s="2" t="n"/>
      <c r="C3" s="2" t="n"/>
      <c r="D3" s="2" t="n"/>
      <c r="E3" s="2" t="n"/>
      <c r="F3" s="2" t="n"/>
      <c r="G3" s="2" t="n"/>
    </row>
    <row r="4" ht="4" customHeight="1">
      <c r="A4" s="5" t="n"/>
      <c r="B4" s="5" t="n"/>
      <c r="C4" s="5" t="n"/>
      <c r="D4" s="5" t="n"/>
      <c r="E4" s="5" t="n"/>
      <c r="F4" s="5" t="n"/>
      <c r="G4" s="5" t="n"/>
    </row>
    <row r="6">
      <c r="A6" s="6" t="inlineStr">
        <is>
          <t>Property</t>
        </is>
      </c>
      <c r="B6" s="7" t="n"/>
      <c r="C6" s="8" t="n"/>
      <c r="D6" s="9" t="n"/>
    </row>
    <row r="7">
      <c r="A7" s="6" t="inlineStr">
        <is>
          <t>Warn me this many days before</t>
        </is>
      </c>
      <c r="B7" s="10" t="n">
        <v>60</v>
      </c>
    </row>
    <row r="8">
      <c r="A8" s="6" t="inlineStr">
        <is>
          <t>Today</t>
        </is>
      </c>
      <c r="B8" s="11">
        <f>TODAY()</f>
        <v/>
      </c>
    </row>
    <row r="10" ht="26" customHeight="1">
      <c r="A10" s="12" t="inlineStr">
        <is>
          <t>Item</t>
        </is>
      </c>
      <c r="B10" s="12" t="inlineStr">
        <is>
          <t>Date (last done / received / start)</t>
        </is>
      </c>
      <c r="C10" s="12" t="inlineStr">
        <is>
          <t>Rule</t>
        </is>
      </c>
      <c r="D10" s="12" t="inlineStr">
        <is>
          <t>Next due</t>
        </is>
      </c>
      <c r="E10" s="12" t="inlineStr">
        <is>
          <t>Days left</t>
        </is>
      </c>
      <c r="F10" s="12" t="inlineStr">
        <is>
          <t>Status</t>
        </is>
      </c>
      <c r="G10" s="12" t="inlineStr">
        <is>
          <t>Notes (England)</t>
        </is>
      </c>
    </row>
    <row r="11" ht="36" customHeight="1">
      <c r="A11" s="13" t="inlineStr">
        <is>
          <t>Gas safety check (CP12)</t>
        </is>
      </c>
      <c r="B11" s="14" t="n"/>
      <c r="C11" s="15" t="inlineStr">
        <is>
          <t>Every 12 months</t>
        </is>
      </c>
      <c r="D11" s="11">
        <f>IF(B11="","",EDATE(B11,12))</f>
        <v/>
      </c>
      <c r="E11" s="16">
        <f>IF(D11="","",D11-$B$8)</f>
        <v/>
      </c>
      <c r="F11" s="17">
        <f>IF(D11="","Not entered",IF(E11&lt;0,"OVERDUE",IF(E11&lt;=N($B$7),"Due soon","OK")))</f>
        <v/>
      </c>
      <c r="G11" s="18" t="inlineStr">
        <is>
          <t>Annual check by a Gas Safe registered engineer. Copy to existing tenants within 28 days; to new tenants before they move in. Keep records at least 2 years.</t>
        </is>
      </c>
    </row>
    <row r="12" ht="36" customHeight="1">
      <c r="A12" s="13" t="inlineStr">
        <is>
          <t>Electrical safety report (EICR)</t>
        </is>
      </c>
      <c r="B12" s="14" t="n"/>
      <c r="C12" s="15" t="inlineStr">
        <is>
          <t>At least every 5 years</t>
        </is>
      </c>
      <c r="D12" s="11">
        <f>IF(B12="","",EDATE(B12,60))</f>
        <v/>
      </c>
      <c r="E12" s="16">
        <f>IF(D12="","",D12-$B$8)</f>
        <v/>
      </c>
      <c r="F12" s="17">
        <f>IF(D12="","Not entered",IF(E12&lt;0,"OVERDUE",IF(E12&lt;=N($B$7),"Due soon","OK")))</f>
        <v/>
      </c>
      <c r="G12" s="18" t="inlineStr">
        <is>
          <t>Sooner if the report says so. Copy to existing tenant within 28 days, new tenant before they occupy, council within 7 days of a written request. Remedial work within 28 days (or sooner if the report says).</t>
        </is>
      </c>
    </row>
    <row r="13" ht="36" customHeight="1">
      <c r="A13" s="13" t="inlineStr">
        <is>
          <t>Energy Performance Certificate (EPC)</t>
        </is>
      </c>
      <c r="B13" s="14" t="n"/>
      <c r="C13" s="15" t="inlineStr">
        <is>
          <t>Valid 10 years</t>
        </is>
      </c>
      <c r="D13" s="11">
        <f>IF(B13="","",EDATE(B13,120))</f>
        <v/>
      </c>
      <c r="E13" s="16">
        <f>IF(D13="","",D13-$B$8)</f>
        <v/>
      </c>
      <c r="F13" s="17">
        <f>IF(D13="","Not entered",IF(E13&lt;0,"OVERDUE",IF(E13&lt;=N($B$7),"Due soon","OK")))</f>
        <v/>
      </c>
      <c r="G13" s="18" t="inlineStr">
        <is>
          <t>Must be shown to tenants. Rating E minimum to let (F/G not allowed unless a valid exemption is registered).</t>
        </is>
      </c>
    </row>
    <row r="14" ht="36" customHeight="1">
      <c r="A14" s="13" t="inlineStr">
        <is>
          <t>Deposit protected - enter date deposit RECEIVED</t>
        </is>
      </c>
      <c r="B14" s="14" t="n"/>
      <c r="C14" s="15" t="inlineStr">
        <is>
          <t>30 days from receiving it</t>
        </is>
      </c>
      <c r="D14" s="11">
        <f>IF(B14="","",B14+30)</f>
        <v/>
      </c>
      <c r="E14" s="16">
        <f>IF(D14="","",D14-$B$8)</f>
        <v/>
      </c>
      <c r="F14" s="17">
        <f>IF(D14="","Not entered",IF(E14&lt;0,"OVERDUE",IF(E14&lt;=N($B$7),"Due soon","OK")))</f>
        <v/>
      </c>
      <c r="G14" s="18" t="inlineStr">
        <is>
          <t>Protect in a government-approved scheme within 30 days of receiving the deposit (not from the tenancy start).</t>
        </is>
      </c>
    </row>
    <row r="15" ht="36" customHeight="1">
      <c r="A15" s="13" t="inlineStr">
        <is>
          <t>Deposit prescribed information - enter date deposit RECEIVED</t>
        </is>
      </c>
      <c r="B15" s="14" t="n"/>
      <c r="C15" s="15" t="inlineStr">
        <is>
          <t>30 days from receiving it</t>
        </is>
      </c>
      <c r="D15" s="11">
        <f>IF(B15="","",B15+30)</f>
        <v/>
      </c>
      <c r="E15" s="16">
        <f>IF(D15="","",D15-$B$8)</f>
        <v/>
      </c>
      <c r="F15" s="17">
        <f>IF(D15="","Not entered",IF(E15&lt;0,"OVERDUE",IF(E15&lt;=N($B$7),"Due soon","OK")))</f>
        <v/>
      </c>
      <c r="G15" s="18" t="inlineStr">
        <is>
          <t>Give the tenant the prescribed information within 30 days of receiving the deposit.</t>
        </is>
      </c>
    </row>
    <row r="16" ht="36" customHeight="1">
      <c r="A16" s="13" t="inlineStr">
        <is>
          <t>Smoke &amp; CO alarms checked - enter tenancy start date</t>
        </is>
      </c>
      <c r="B16" s="14" t="n"/>
      <c r="C16" s="15" t="inlineStr">
        <is>
          <t>Day the new tenancy begins</t>
        </is>
      </c>
      <c r="D16" s="11">
        <f>IF(B16="","",B16)</f>
        <v/>
      </c>
      <c r="E16" s="16">
        <f>IF(D16="","",D16-$B$8)</f>
        <v/>
      </c>
      <c r="F16" s="17">
        <f>IF(D16="","Not entered",IF(E16&lt;0,"OVERDUE",IF(E16&lt;=N($B$7),"Due soon","OK")))</f>
        <v/>
      </c>
      <c r="G16" s="18" t="inlineStr">
        <is>
          <t>Check alarms work on the day a new tenancy begins; keep a record of tests. Repair or replace once told they're faulty.</t>
        </is>
      </c>
    </row>
    <row r="17">
      <c r="A17" s="19" t="inlineStr">
        <is>
          <t>Deposit and alarm dates are one-off deadlines: once done, note it and move on.</t>
        </is>
      </c>
    </row>
    <row r="19" ht="12" customHeight="1">
      <c r="A19" s="20" t="inlineStr">
        <is>
          <t>WHAT THE FULL VERSION ADDS</t>
        </is>
      </c>
    </row>
    <row r="20" ht="36" customHeight="1">
      <c r="A20" s="18" t="inlineStr">
        <is>
          <t>one row per property for your whole portfolio, gas, EICR (with remedial-work tracking), EPC (with an F/G rating warning), alarms, deposit and prescribed information, Right to Rent, HMO / selective licence and insurance dates, a dashboard of the next 10 items due, an adjustable alert window and an Example file. Part of the England compliance bundle with the calendar and checklist.</t>
        </is>
      </c>
    </row>
    <row r="21" ht="12" customHeight="1">
      <c r="A21" s="20" t="inlineStr">
        <is>
          <t>PLEASE NOTE</t>
        </is>
      </c>
    </row>
    <row r="22" ht="36" customHeight="1">
      <c r="A22" s="18" t="inlineStr">
        <is>
          <t>Record-keeping aid only, not legal advice. These dates follow the rules for England only (checked against gov.uk, legislation.gov.uk and HSE on 10 October 2026); rules differ in Wales, Scotland and NI and can change, so check gov.uk. This is a tracker to help you keep track. It isn't legal, tax, financial or safety advice, and you're responsible for the figures you enter and the decisions you make with them.</t>
        </is>
      </c>
    </row>
    <row r="23" ht="12" customHeight="1">
      <c r="A23" s="18" t="inlineStr">
        <is>
          <t>Licence: free for personal use. Please share the link rather than the file.</t>
        </is>
      </c>
    </row>
    <row r="24" ht="12" customHeight="1">
      <c r="A24" s="18" t="inlineStr">
        <is>
          <t>Free sample from HakmadeStudio. Full version on HakmadeStudio (Etsy): etsy.com/shop/HakmadeStudio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">
    <mergeCell ref="A21:G21"/>
    <mergeCell ref="A22:G22"/>
    <mergeCell ref="A20:G20"/>
    <mergeCell ref="A24:G24"/>
    <mergeCell ref="A19:G19"/>
    <mergeCell ref="B6:D6"/>
    <mergeCell ref="A23:G23"/>
  </mergeCells>
  <conditionalFormatting sqref="F11:F16">
    <cfRule type="expression" priority="1" dxfId="0">
      <formula>F11="OVERDUE"</formula>
    </cfRule>
    <cfRule type="expression" priority="2" dxfId="1">
      <formula>F11="Due soon"</formula>
    </cfRule>
    <cfRule type="expression" priority="3" dxfId="2">
      <formula>F11="OK"</formula>
    </cfRule>
  </conditionalFormatting>
  <pageMargins left="0.75" right="0.75" top="1" bottom="1" header="0.5" footer="0.5"/>
  <pageSetup orientation="landscape" paperSize="9" fitToHeight="1" fitToWidth="1"/>
  <headerFooter>
    <oddHeader/>
    <oddFooter>&amp;C&amp;7 HakmadeStudio free sample · Full version on HakmadeStudio (Etsy)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HakmadeStudio</dc:creator>
  <dcterms:created xmlns:dcterms="http://purl.org/dc/terms/" xmlns:xsi="http://www.w3.org/2001/XMLSchema-instance" xsi:type="dcterms:W3CDTF">2026-10-10T20:29:08Z</dcterms:created>
  <dcterms:modified xmlns:dcterms="http://purl.org/dc/terms/" xmlns:xsi="http://www.w3.org/2001/XMLSchema-instance" xsi:type="dcterms:W3CDTF">2026-10-10T20:29:08Z</dcterms:modified>
</cp:coreProperties>
</file>